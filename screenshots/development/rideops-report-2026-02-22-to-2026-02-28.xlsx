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Volume" state="visible" r:id="rId5"/>
    <sheet sheetId="3" name="Routes" state="visible" r:id="rId6"/>
    <sheet sheetId="4" name="Driver Performance" state="visible" r:id="rId7"/>
    <sheet sheetId="5" name="Rider Analysis" state="visible" r:id="rId8"/>
    <sheet sheetId="6" name="Fleet" state="visible" r:id="rId9"/>
    <sheet sheetId="7" name="Shift Coverage" state="visible" r:id="rId10"/>
    <sheet sheetId="8" name="Peak Hours" state="visible" r:id="rId11"/>
  </sheets>
  <calcPr calcId="171027"/>
</workbook>
</file>

<file path=xl/sharedStrings.xml><?xml version="1.0" encoding="utf-8"?>
<sst xmlns="http://schemas.openxmlformats.org/spreadsheetml/2006/main" count="217" uniqueCount="115">
  <si>
    <t>Summary  |  Period: 2026-02-22 to 2026-02-28  |  Generated: 2026-02-28T09:49:21.656Z</t>
  </si>
  <si>
    <t>Report Period</t>
  </si>
  <si>
    <t>2026-02-22 to 2026-02-28</t>
  </si>
  <si>
    <t>Total Rides</t>
  </si>
  <si>
    <t>Completed Rides</t>
  </si>
  <si>
    <t>Completion Rate</t>
  </si>
  <si>
    <t>75.0%</t>
  </si>
  <si>
    <t>No-Shows</t>
  </si>
  <si>
    <t>No-Show Rate</t>
  </si>
  <si>
    <t>5.4%</t>
  </si>
  <si>
    <t>Cancellations</t>
  </si>
  <si>
    <t>Cancellation Rate</t>
  </si>
  <si>
    <t>1.8%</t>
  </si>
  <si>
    <t>Denied</t>
  </si>
  <si>
    <t>Denial Rate</t>
  </si>
  <si>
    <t>Unique Riders</t>
  </si>
  <si>
    <t>People Helped</t>
  </si>
  <si>
    <t>Active Drivers</t>
  </si>
  <si>
    <t>Fleet Availability</t>
  </si>
  <si>
    <t>5 of 5</t>
  </si>
  <si>
    <t>Daily Volume  |  Period: 2026-02-22 to 2026-02-28  |  Generated: 2026-02-28T09:49:21.656Z</t>
  </si>
  <si>
    <t>2026-02-23</t>
  </si>
  <si>
    <t>Monday</t>
  </si>
  <si>
    <t>2026-02-24</t>
  </si>
  <si>
    <t>Tuesday</t>
  </si>
  <si>
    <t>2026-02-25</t>
  </si>
  <si>
    <t>Wednesday</t>
  </si>
  <si>
    <t>2026-02-26</t>
  </si>
  <si>
    <t>Thursday</t>
  </si>
  <si>
    <t>2026-02-27</t>
  </si>
  <si>
    <t>Friday</t>
  </si>
  <si>
    <t>2026-02-28</t>
  </si>
  <si>
    <t>Saturday</t>
  </si>
  <si>
    <t>Routes  |  Period: 2026-02-22 to 2026-02-28  |  Generated: 2026-02-28T09:49:21.656Z</t>
  </si>
  <si>
    <t>Residence Hall A</t>
  </si>
  <si>
    <t>Main Library</t>
  </si>
  <si>
    <t>Student Union</t>
  </si>
  <si>
    <t>Dining Hall (North)</t>
  </si>
  <si>
    <t>Residence Hall B</t>
  </si>
  <si>
    <t>Recreation Center</t>
  </si>
  <si>
    <t>Business School</t>
  </si>
  <si>
    <t>Science Building</t>
  </si>
  <si>
    <t>Engineering Hall</t>
  </si>
  <si>
    <t>Campus Quad</t>
  </si>
  <si>
    <t>Gymnasium</t>
  </si>
  <si>
    <t>Campus Security</t>
  </si>
  <si>
    <t>Dining Hall (South)</t>
  </si>
  <si>
    <t>Residence Hall C</t>
  </si>
  <si>
    <t>Student Center</t>
  </si>
  <si>
    <t>Transportation Hub</t>
  </si>
  <si>
    <t>Health Center</t>
  </si>
  <si>
    <t>Law School</t>
  </si>
  <si>
    <t>Stadium</t>
  </si>
  <si>
    <t>Performing Arts Center</t>
  </si>
  <si>
    <t>Aquatic Center</t>
  </si>
  <si>
    <t>Science Library</t>
  </si>
  <si>
    <t>Administration Building</t>
  </si>
  <si>
    <t>Visitor Center</t>
  </si>
  <si>
    <t>Admissions Office</t>
  </si>
  <si>
    <t>Driver Performance  |  Period: 2026-02-22 to 2026-02-28  |  Generated: 2026-02-28T09:49:21.656Z</t>
  </si>
  <si>
    <t>Alex</t>
  </si>
  <si>
    <t>Jordan</t>
  </si>
  <si>
    <t>Taylor</t>
  </si>
  <si>
    <t>Morgan</t>
  </si>
  <si>
    <t>Rider Analysis  |  Period: 2026-02-22 to 2026-02-28  |  Generated: 2026-02-28T09:49:21.656Z</t>
  </si>
  <si>
    <t>Casey Rivera</t>
  </si>
  <si>
    <t>hello+casey@ride-ops.com</t>
  </si>
  <si>
    <t>returning</t>
  </si>
  <si>
    <t>2025-08-18</t>
  </si>
  <si>
    <t>Riley Chen</t>
  </si>
  <si>
    <t>hello+riley@ride-ops.com</t>
  </si>
  <si>
    <t>2025-08-15</t>
  </si>
  <si>
    <t>Jamie Nguyen</t>
  </si>
  <si>
    <t>jamie.nguyen@campus.edu</t>
  </si>
  <si>
    <t>Drew Martinez</t>
  </si>
  <si>
    <t>drew.martinez@campus.edu</t>
  </si>
  <si>
    <t>2025-08-26</t>
  </si>
  <si>
    <t>Avery Torres</t>
  </si>
  <si>
    <t>avery.torres@campus.edu</t>
  </si>
  <si>
    <t>2025-08-19</t>
  </si>
  <si>
    <t>Dana Patel</t>
  </si>
  <si>
    <t>dana.patel@campus.edu</t>
  </si>
  <si>
    <t>2025-08-20</t>
  </si>
  <si>
    <t>Quinn Brooks</t>
  </si>
  <si>
    <t>quinn.brooks@campus.edu</t>
  </si>
  <si>
    <t>2025-08-27</t>
  </si>
  <si>
    <t>Skyler Adams</t>
  </si>
  <si>
    <t>skyler.adams@campus.edu</t>
  </si>
  <si>
    <t>2025-08-25</t>
  </si>
  <si>
    <t>Parker Walsh</t>
  </si>
  <si>
    <t>parker.walsh@campus.edu</t>
  </si>
  <si>
    <t>2025-08-21</t>
  </si>
  <si>
    <t>Reese Kim</t>
  </si>
  <si>
    <t>reese.kim@campus.edu</t>
  </si>
  <si>
    <t>Fleet  |  Period: 2026-02-22 to 2026-02-28  |  Generated: 2026-02-28T09:49:21.656Z</t>
  </si>
  <si>
    <t>Cart 3</t>
  </si>
  <si>
    <t>standard</t>
  </si>
  <si>
    <t>available</t>
  </si>
  <si>
    <t/>
  </si>
  <si>
    <t>Cart 4</t>
  </si>
  <si>
    <t>Cart 1</t>
  </si>
  <si>
    <t>Cart 2</t>
  </si>
  <si>
    <t>Accessible Cart</t>
  </si>
  <si>
    <t>accessible</t>
  </si>
  <si>
    <t>Shift Coverage  |  Period: 2026-02-22 to 2026-02-28  |  Generated: 2026-02-28T09:49:21.656Z</t>
  </si>
  <si>
    <t>Peak Hours Heatmap  |  Period: 2026-02-22 to 2026-02-28  |  Generated: 2026-02-28T09:49:21.656Z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</si>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</sst>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16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19">
    <dxf>
      <font>
        <color rgb="FFFFFFFF"/>
      </font>
      <fill>
        <patternFill patternType="solid">
          <bgColor rgb="FF28A7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28A7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28A7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DC35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DC35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28A745"/>
        </patternFill>
      </fill>
    </dxf>
    <dxf>
      <fill>
        <patternFill patternType="solid">
          <bgColor rgb="FFFFC107"/>
        </patternFill>
      </fill>
    </dxf>
    <dxf>
      <font>
        <color rgb="FFFFFFFF"/>
      </font>
      <fill>
        <patternFill patternType="solid">
          <bgColor rgb="FFDC3545"/>
        </patternFill>
      </fill>
    </dxf>
    <dxf>
      <font>
        <color rgb="FFFFFFFF"/>
      </font>
      <fill>
        <patternFill patternType="solid">
          <bgColor rgb="FFDC35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2" width="4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56</v>
      </c>
    </row>
    <row r="4" spans="1:2" x14ac:dyDescent="0.25">
      <c r="A4" t="s">
        <v>4</v>
      </c>
      <c r="B4">
        <v>42</v>
      </c>
    </row>
    <row r="5" spans="1:2" x14ac:dyDescent="0.25">
      <c r="A5" t="s">
        <v>5</v>
      </c>
      <c r="B5" s="2" t="s">
        <v>6</v>
      </c>
    </row>
    <row r="6" spans="1:2" x14ac:dyDescent="0.25">
      <c r="A6" t="s">
        <v>7</v>
      </c>
      <c r="B6">
        <v>3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s="2">
        <v>1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>
        <v>1</v>
      </c>
    </row>
    <row r="11" spans="1:2" x14ac:dyDescent="0.25">
      <c r="A11" t="s">
        <v>14</v>
      </c>
      <c r="B11" t="s">
        <v>12</v>
      </c>
    </row>
    <row r="12" spans="1:2" x14ac:dyDescent="0.25">
      <c r="A12" t="s">
        <v>15</v>
      </c>
      <c r="B12">
        <v>10</v>
      </c>
    </row>
    <row r="13" spans="1:2" x14ac:dyDescent="0.25">
      <c r="A13" t="s">
        <v>16</v>
      </c>
      <c r="B13">
        <v>10</v>
      </c>
    </row>
    <row r="14" spans="1:2" x14ac:dyDescent="0.25">
      <c r="A14" t="s">
        <v>17</v>
      </c>
      <c r="B14">
        <v>4</v>
      </c>
    </row>
    <row r="15" spans="1:2" x14ac:dyDescent="0.25">
      <c r="A15" t="s">
        <v>18</v>
      </c>
      <c r="B1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7" width="40" customWidth="1"/>
    <col min="8" max="8" width="40" style="3" customWidth="1"/>
    <col min="9" max="9" width="40" customWidth="1"/>
  </cols>
  <sheetData>
    <row r="1" spans="1:9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t="s">
        <v>21</v>
      </c>
      <c r="B2" t="s">
        <v>22</v>
      </c>
      <c r="C2">
        <v>8</v>
      </c>
      <c r="D2">
        <v>8</v>
      </c>
      <c r="E2">
        <v>0</v>
      </c>
      <c r="F2">
        <v>0</v>
      </c>
      <c r="G2">
        <v>0</v>
      </c>
      <c r="H2" s="3">
        <v>1</v>
      </c>
      <c r="I2">
        <v>6</v>
      </c>
    </row>
    <row r="3" spans="1:9" x14ac:dyDescent="0.25">
      <c r="A3" t="s">
        <v>23</v>
      </c>
      <c r="B3" t="s">
        <v>24</v>
      </c>
      <c r="C3">
        <v>8</v>
      </c>
      <c r="D3">
        <v>7</v>
      </c>
      <c r="E3">
        <v>1</v>
      </c>
      <c r="F3">
        <v>0</v>
      </c>
      <c r="G3">
        <v>0</v>
      </c>
      <c r="H3" s="3">
        <v>0.875</v>
      </c>
      <c r="I3">
        <v>5</v>
      </c>
    </row>
    <row r="4" spans="1:9" x14ac:dyDescent="0.25">
      <c r="A4" t="s">
        <v>25</v>
      </c>
      <c r="B4" t="s">
        <v>26</v>
      </c>
      <c r="C4">
        <v>8</v>
      </c>
      <c r="D4">
        <v>7</v>
      </c>
      <c r="E4">
        <v>0</v>
      </c>
      <c r="F4">
        <v>1</v>
      </c>
      <c r="G4">
        <v>0</v>
      </c>
      <c r="H4" s="3">
        <v>0.875</v>
      </c>
      <c r="I4">
        <v>6</v>
      </c>
    </row>
    <row r="5" spans="1:9" x14ac:dyDescent="0.25">
      <c r="A5" t="s">
        <v>27</v>
      </c>
      <c r="B5" t="s">
        <v>28</v>
      </c>
      <c r="C5">
        <v>9</v>
      </c>
      <c r="D5">
        <v>9</v>
      </c>
      <c r="E5">
        <v>0</v>
      </c>
      <c r="F5">
        <v>0</v>
      </c>
      <c r="G5">
        <v>0</v>
      </c>
      <c r="H5" s="3">
        <v>1</v>
      </c>
      <c r="I5">
        <v>6</v>
      </c>
    </row>
    <row r="6" spans="1:9" x14ac:dyDescent="0.25">
      <c r="A6" t="s">
        <v>29</v>
      </c>
      <c r="B6" t="s">
        <v>30</v>
      </c>
      <c r="C6">
        <v>9</v>
      </c>
      <c r="D6">
        <v>8</v>
      </c>
      <c r="E6">
        <v>1</v>
      </c>
      <c r="F6">
        <v>0</v>
      </c>
      <c r="G6">
        <v>0</v>
      </c>
      <c r="H6" s="3">
        <v>0.889</v>
      </c>
      <c r="I6">
        <v>5</v>
      </c>
    </row>
    <row r="7" spans="1:9" x14ac:dyDescent="0.25">
      <c r="A7" t="s">
        <v>31</v>
      </c>
      <c r="B7" t="s">
        <v>32</v>
      </c>
      <c r="C7">
        <v>14</v>
      </c>
      <c r="D7">
        <v>3</v>
      </c>
      <c r="E7">
        <v>1</v>
      </c>
      <c r="F7">
        <v>0</v>
      </c>
      <c r="G7">
        <v>1</v>
      </c>
      <c r="H7" s="3">
        <v>0.214</v>
      </c>
      <c r="I7">
        <v>2</v>
      </c>
    </row>
  </sheetData>
  <mergeCells count="1">
    <mergeCell ref="A1:I1"/>
  </mergeCells>
  <conditionalFormatting sqref="H3:H8">
    <cfRule type="cellIs" dxfId="0" priority="1" operator="greaterThanOrEqual">
      <formula>0.85</formula>
    </cfRule>
    <cfRule type="cellIs" dxfId="1" priority="2" operator="between">
      <formula>0.7</formula>
      <formula>0.8499</formula>
    </cfRule>
    <cfRule type="cellIs" dxfId="2" priority="3" operator="lessThan">
      <formula>0.7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5" width="40" customWidth="1"/>
    <col min="6" max="6" width="40" style="3" customWidth="1"/>
    <col min="7" max="7" width="40" customWidth="1"/>
  </cols>
  <sheetData>
    <row r="1" spans="1:7" x14ac:dyDescent="0.25">
      <c r="A1" s="4" t="s">
        <v>33</v>
      </c>
      <c r="B1" s="4"/>
      <c r="C1" s="4"/>
      <c r="D1" s="4"/>
      <c r="E1" s="4"/>
      <c r="F1" s="4"/>
      <c r="G1" s="4"/>
    </row>
    <row r="2" spans="1:7" x14ac:dyDescent="0.25">
      <c r="A2" t="s">
        <v>34</v>
      </c>
      <c r="B2" t="s">
        <v>35</v>
      </c>
      <c r="C2">
        <v>5</v>
      </c>
      <c r="D2">
        <v>4</v>
      </c>
      <c r="E2">
        <v>1</v>
      </c>
      <c r="F2" s="3">
        <v>0.8</v>
      </c>
      <c r="G2">
        <v>4</v>
      </c>
    </row>
    <row r="3" spans="1:7" x14ac:dyDescent="0.25">
      <c r="A3" t="s">
        <v>36</v>
      </c>
      <c r="B3" t="s">
        <v>37</v>
      </c>
      <c r="C3">
        <v>3</v>
      </c>
      <c r="D3">
        <v>3</v>
      </c>
      <c r="E3">
        <v>0</v>
      </c>
      <c r="F3" s="3">
        <v>1</v>
      </c>
      <c r="G3">
        <v>3</v>
      </c>
    </row>
    <row r="4" spans="1:7" x14ac:dyDescent="0.25">
      <c r="A4" t="s">
        <v>38</v>
      </c>
      <c r="B4" t="s">
        <v>39</v>
      </c>
      <c r="C4">
        <v>2</v>
      </c>
      <c r="D4">
        <v>2</v>
      </c>
      <c r="E4">
        <v>0</v>
      </c>
      <c r="F4" s="3">
        <v>1</v>
      </c>
      <c r="G4">
        <v>2</v>
      </c>
    </row>
    <row r="5" spans="1:7" x14ac:dyDescent="0.25">
      <c r="A5" t="s">
        <v>40</v>
      </c>
      <c r="B5" t="s">
        <v>35</v>
      </c>
      <c r="C5">
        <v>2</v>
      </c>
      <c r="D5">
        <v>2</v>
      </c>
      <c r="E5">
        <v>0</v>
      </c>
      <c r="F5" s="3">
        <v>1</v>
      </c>
      <c r="G5">
        <v>2</v>
      </c>
    </row>
    <row r="6" spans="1:7" x14ac:dyDescent="0.25">
      <c r="A6" t="s">
        <v>41</v>
      </c>
      <c r="B6" t="s">
        <v>42</v>
      </c>
      <c r="C6">
        <v>2</v>
      </c>
      <c r="D6">
        <v>2</v>
      </c>
      <c r="E6">
        <v>0</v>
      </c>
      <c r="F6" s="3">
        <v>1</v>
      </c>
      <c r="G6">
        <v>2</v>
      </c>
    </row>
    <row r="7" spans="1:7" x14ac:dyDescent="0.25">
      <c r="A7" t="s">
        <v>40</v>
      </c>
      <c r="B7" t="s">
        <v>42</v>
      </c>
      <c r="C7">
        <v>1</v>
      </c>
      <c r="D7">
        <v>1</v>
      </c>
      <c r="E7">
        <v>0</v>
      </c>
      <c r="F7" s="3">
        <v>1</v>
      </c>
      <c r="G7">
        <v>1</v>
      </c>
    </row>
    <row r="8" spans="1:7" x14ac:dyDescent="0.25">
      <c r="A8" t="s">
        <v>40</v>
      </c>
      <c r="B8" t="s">
        <v>39</v>
      </c>
      <c r="C8">
        <v>1</v>
      </c>
      <c r="D8">
        <v>1</v>
      </c>
      <c r="E8">
        <v>0</v>
      </c>
      <c r="F8" s="3">
        <v>1</v>
      </c>
      <c r="G8">
        <v>1</v>
      </c>
    </row>
    <row r="9" spans="1:7" x14ac:dyDescent="0.25">
      <c r="A9" t="s">
        <v>43</v>
      </c>
      <c r="B9" t="s">
        <v>44</v>
      </c>
      <c r="C9">
        <v>1</v>
      </c>
      <c r="D9">
        <v>0</v>
      </c>
      <c r="E9">
        <v>1</v>
      </c>
      <c r="F9" s="3">
        <v>0</v>
      </c>
      <c r="G9">
        <v>1</v>
      </c>
    </row>
    <row r="10" spans="1:7" x14ac:dyDescent="0.25">
      <c r="A10" t="s">
        <v>45</v>
      </c>
      <c r="B10" t="s">
        <v>34</v>
      </c>
      <c r="C10">
        <v>1</v>
      </c>
      <c r="D10">
        <v>1</v>
      </c>
      <c r="E10">
        <v>0</v>
      </c>
      <c r="F10" s="3">
        <v>1</v>
      </c>
      <c r="G10">
        <v>1</v>
      </c>
    </row>
    <row r="11" spans="1:7" x14ac:dyDescent="0.25">
      <c r="A11" t="s">
        <v>37</v>
      </c>
      <c r="B11" t="s">
        <v>35</v>
      </c>
      <c r="C11">
        <v>1</v>
      </c>
      <c r="D11">
        <v>1</v>
      </c>
      <c r="E11">
        <v>0</v>
      </c>
      <c r="F11" s="3">
        <v>1</v>
      </c>
      <c r="G11">
        <v>1</v>
      </c>
    </row>
    <row r="12" spans="1:7" x14ac:dyDescent="0.25">
      <c r="A12" t="s">
        <v>46</v>
      </c>
      <c r="B12" t="s">
        <v>47</v>
      </c>
      <c r="C12">
        <v>1</v>
      </c>
      <c r="D12">
        <v>0</v>
      </c>
      <c r="E12">
        <v>1</v>
      </c>
      <c r="F12" s="3">
        <v>0</v>
      </c>
      <c r="G12">
        <v>1</v>
      </c>
    </row>
    <row r="13" spans="1:7" x14ac:dyDescent="0.25">
      <c r="A13" t="s">
        <v>42</v>
      </c>
      <c r="B13" t="s">
        <v>48</v>
      </c>
      <c r="C13">
        <v>1</v>
      </c>
      <c r="D13">
        <v>1</v>
      </c>
      <c r="E13">
        <v>0</v>
      </c>
      <c r="F13" s="3">
        <v>1</v>
      </c>
      <c r="G13">
        <v>1</v>
      </c>
    </row>
    <row r="14" spans="1:7" x14ac:dyDescent="0.25">
      <c r="A14" t="s">
        <v>42</v>
      </c>
      <c r="B14" t="s">
        <v>49</v>
      </c>
      <c r="C14">
        <v>1</v>
      </c>
      <c r="D14">
        <v>1</v>
      </c>
      <c r="E14">
        <v>0</v>
      </c>
      <c r="F14" s="3">
        <v>1</v>
      </c>
      <c r="G14">
        <v>1</v>
      </c>
    </row>
    <row r="15" spans="1:7" x14ac:dyDescent="0.25">
      <c r="A15" t="s">
        <v>50</v>
      </c>
      <c r="B15" t="s">
        <v>35</v>
      </c>
      <c r="C15">
        <v>1</v>
      </c>
      <c r="D15">
        <v>1</v>
      </c>
      <c r="E15">
        <v>0</v>
      </c>
      <c r="F15" s="3">
        <v>1</v>
      </c>
      <c r="G15">
        <v>1</v>
      </c>
    </row>
    <row r="16" spans="1:7" x14ac:dyDescent="0.25">
      <c r="A16" t="s">
        <v>50</v>
      </c>
      <c r="B16" t="s">
        <v>48</v>
      </c>
      <c r="C16">
        <v>1</v>
      </c>
      <c r="D16">
        <v>1</v>
      </c>
      <c r="E16">
        <v>0</v>
      </c>
      <c r="F16" s="3">
        <v>1</v>
      </c>
      <c r="G16">
        <v>1</v>
      </c>
    </row>
    <row r="17" spans="1:7" x14ac:dyDescent="0.25">
      <c r="A17" t="s">
        <v>50</v>
      </c>
      <c r="B17" t="s">
        <v>36</v>
      </c>
      <c r="C17">
        <v>1</v>
      </c>
      <c r="D17">
        <v>1</v>
      </c>
      <c r="E17">
        <v>0</v>
      </c>
      <c r="F17" s="3">
        <v>1</v>
      </c>
      <c r="G17">
        <v>1</v>
      </c>
    </row>
    <row r="18" spans="1:7" x14ac:dyDescent="0.25">
      <c r="A18" t="s">
        <v>51</v>
      </c>
      <c r="B18" t="s">
        <v>39</v>
      </c>
      <c r="C18">
        <v>1</v>
      </c>
      <c r="D18">
        <v>1</v>
      </c>
      <c r="E18">
        <v>0</v>
      </c>
      <c r="F18" s="3">
        <v>1</v>
      </c>
      <c r="G18">
        <v>1</v>
      </c>
    </row>
    <row r="19" spans="1:7" x14ac:dyDescent="0.25">
      <c r="A19" t="s">
        <v>35</v>
      </c>
      <c r="B19" t="s">
        <v>42</v>
      </c>
      <c r="C19">
        <v>1</v>
      </c>
      <c r="D19">
        <v>1</v>
      </c>
      <c r="E19">
        <v>0</v>
      </c>
      <c r="F19" s="3">
        <v>1</v>
      </c>
      <c r="G19">
        <v>1</v>
      </c>
    </row>
    <row r="20" spans="1:7" x14ac:dyDescent="0.25">
      <c r="A20" t="s">
        <v>35</v>
      </c>
      <c r="B20" t="s">
        <v>52</v>
      </c>
      <c r="C20">
        <v>1</v>
      </c>
      <c r="D20">
        <v>1</v>
      </c>
      <c r="E20">
        <v>0</v>
      </c>
      <c r="F20" s="3">
        <v>1</v>
      </c>
      <c r="G20">
        <v>1</v>
      </c>
    </row>
    <row r="21" spans="1:7" x14ac:dyDescent="0.25">
      <c r="A21" t="s">
        <v>35</v>
      </c>
      <c r="B21" t="s">
        <v>48</v>
      </c>
      <c r="C21">
        <v>1</v>
      </c>
      <c r="D21">
        <v>1</v>
      </c>
      <c r="E21">
        <v>0</v>
      </c>
      <c r="F21" s="3">
        <v>1</v>
      </c>
      <c r="G21">
        <v>1</v>
      </c>
    </row>
    <row r="22" spans="1:7" x14ac:dyDescent="0.25">
      <c r="A22" t="s">
        <v>35</v>
      </c>
      <c r="B22" t="s">
        <v>36</v>
      </c>
      <c r="C22">
        <v>1</v>
      </c>
      <c r="D22">
        <v>1</v>
      </c>
      <c r="E22">
        <v>0</v>
      </c>
      <c r="F22" s="3">
        <v>1</v>
      </c>
      <c r="G22">
        <v>1</v>
      </c>
    </row>
    <row r="23" spans="1:7" x14ac:dyDescent="0.25">
      <c r="A23" t="s">
        <v>35</v>
      </c>
      <c r="B23" t="s">
        <v>49</v>
      </c>
      <c r="C23">
        <v>1</v>
      </c>
      <c r="D23">
        <v>1</v>
      </c>
      <c r="E23">
        <v>0</v>
      </c>
      <c r="F23" s="3">
        <v>1</v>
      </c>
      <c r="G23">
        <v>1</v>
      </c>
    </row>
    <row r="24" spans="1:7" x14ac:dyDescent="0.25">
      <c r="A24" t="s">
        <v>53</v>
      </c>
      <c r="B24" t="s">
        <v>36</v>
      </c>
      <c r="C24">
        <v>1</v>
      </c>
      <c r="D24">
        <v>1</v>
      </c>
      <c r="E24">
        <v>0</v>
      </c>
      <c r="F24" s="3">
        <v>1</v>
      </c>
      <c r="G24">
        <v>1</v>
      </c>
    </row>
    <row r="25" spans="1:7" x14ac:dyDescent="0.25">
      <c r="A25" t="s">
        <v>39</v>
      </c>
      <c r="B25" t="s">
        <v>54</v>
      </c>
      <c r="C25">
        <v>1</v>
      </c>
      <c r="D25">
        <v>1</v>
      </c>
      <c r="E25">
        <v>0</v>
      </c>
      <c r="F25" s="3">
        <v>1</v>
      </c>
      <c r="G25">
        <v>1</v>
      </c>
    </row>
    <row r="26" spans="1:7" x14ac:dyDescent="0.25">
      <c r="A26" t="s">
        <v>39</v>
      </c>
      <c r="B26" t="s">
        <v>49</v>
      </c>
      <c r="C26">
        <v>1</v>
      </c>
      <c r="D26">
        <v>1</v>
      </c>
      <c r="E26">
        <v>0</v>
      </c>
      <c r="F26" s="3">
        <v>1</v>
      </c>
      <c r="G26">
        <v>1</v>
      </c>
    </row>
    <row r="27" spans="1:7" x14ac:dyDescent="0.25">
      <c r="A27" t="s">
        <v>34</v>
      </c>
      <c r="B27" t="s">
        <v>36</v>
      </c>
      <c r="C27">
        <v>1</v>
      </c>
      <c r="D27">
        <v>1</v>
      </c>
      <c r="E27">
        <v>0</v>
      </c>
      <c r="F27" s="3">
        <v>1</v>
      </c>
      <c r="G27">
        <v>1</v>
      </c>
    </row>
    <row r="28" spans="1:7" x14ac:dyDescent="0.25">
      <c r="A28" t="s">
        <v>38</v>
      </c>
      <c r="B28" t="s">
        <v>53</v>
      </c>
      <c r="C28">
        <v>1</v>
      </c>
      <c r="D28">
        <v>1</v>
      </c>
      <c r="E28">
        <v>0</v>
      </c>
      <c r="F28" s="3">
        <v>1</v>
      </c>
      <c r="G28">
        <v>1</v>
      </c>
    </row>
    <row r="29" spans="1:7" x14ac:dyDescent="0.25">
      <c r="A29" t="s">
        <v>38</v>
      </c>
      <c r="B29" t="s">
        <v>48</v>
      </c>
      <c r="C29">
        <v>1</v>
      </c>
      <c r="D29">
        <v>1</v>
      </c>
      <c r="E29">
        <v>0</v>
      </c>
      <c r="F29" s="3">
        <v>1</v>
      </c>
      <c r="G29">
        <v>1</v>
      </c>
    </row>
    <row r="30" spans="1:7" x14ac:dyDescent="0.25">
      <c r="A30" t="s">
        <v>55</v>
      </c>
      <c r="B30" t="s">
        <v>46</v>
      </c>
      <c r="C30">
        <v>1</v>
      </c>
      <c r="D30">
        <v>1</v>
      </c>
      <c r="E30">
        <v>0</v>
      </c>
      <c r="F30" s="3">
        <v>1</v>
      </c>
      <c r="G30">
        <v>1</v>
      </c>
    </row>
    <row r="31" spans="1:7" x14ac:dyDescent="0.25">
      <c r="A31" t="s">
        <v>48</v>
      </c>
      <c r="B31" t="s">
        <v>56</v>
      </c>
      <c r="C31">
        <v>1</v>
      </c>
      <c r="D31">
        <v>1</v>
      </c>
      <c r="E31">
        <v>0</v>
      </c>
      <c r="F31" s="3">
        <v>1</v>
      </c>
      <c r="G31">
        <v>1</v>
      </c>
    </row>
    <row r="32" spans="1:7" x14ac:dyDescent="0.25">
      <c r="A32" t="s">
        <v>48</v>
      </c>
      <c r="B32" t="s">
        <v>35</v>
      </c>
      <c r="C32">
        <v>1</v>
      </c>
      <c r="D32">
        <v>0</v>
      </c>
      <c r="E32">
        <v>0</v>
      </c>
      <c r="F32" s="3">
        <v>0</v>
      </c>
      <c r="G32">
        <v>1</v>
      </c>
    </row>
    <row r="33" spans="1:7" x14ac:dyDescent="0.25">
      <c r="A33" t="s">
        <v>49</v>
      </c>
      <c r="B33" t="s">
        <v>36</v>
      </c>
      <c r="C33">
        <v>1</v>
      </c>
      <c r="D33">
        <v>1</v>
      </c>
      <c r="E33">
        <v>0</v>
      </c>
      <c r="F33" s="3">
        <v>1</v>
      </c>
      <c r="G33">
        <v>1</v>
      </c>
    </row>
    <row r="34" spans="1:7" x14ac:dyDescent="0.25">
      <c r="A34" t="s">
        <v>56</v>
      </c>
      <c r="B34" t="s">
        <v>40</v>
      </c>
      <c r="C34">
        <v>1</v>
      </c>
      <c r="D34">
        <v>1</v>
      </c>
      <c r="E34">
        <v>0</v>
      </c>
      <c r="F34" s="3">
        <v>1</v>
      </c>
      <c r="G34">
        <v>1</v>
      </c>
    </row>
    <row r="35" spans="1:7" x14ac:dyDescent="0.25">
      <c r="A35" t="s">
        <v>49</v>
      </c>
      <c r="B35" t="s">
        <v>57</v>
      </c>
      <c r="C35">
        <v>1</v>
      </c>
      <c r="D35">
        <v>0</v>
      </c>
      <c r="E35">
        <v>0</v>
      </c>
      <c r="F35" s="3">
        <v>0</v>
      </c>
      <c r="G35">
        <v>1</v>
      </c>
    </row>
    <row r="36" spans="1:7" x14ac:dyDescent="0.25">
      <c r="A36" t="s">
        <v>56</v>
      </c>
      <c r="B36" t="s">
        <v>35</v>
      </c>
      <c r="C36">
        <v>1</v>
      </c>
      <c r="D36">
        <v>1</v>
      </c>
      <c r="E36">
        <v>0</v>
      </c>
      <c r="F36" s="3">
        <v>1</v>
      </c>
      <c r="G36">
        <v>1</v>
      </c>
    </row>
    <row r="37" spans="1:7" x14ac:dyDescent="0.25">
      <c r="A37" t="s">
        <v>58</v>
      </c>
      <c r="B37" t="s">
        <v>46</v>
      </c>
      <c r="C37">
        <v>1</v>
      </c>
      <c r="D37">
        <v>1</v>
      </c>
      <c r="E37">
        <v>0</v>
      </c>
      <c r="F37" s="3">
        <v>1</v>
      </c>
      <c r="G37">
        <v>1</v>
      </c>
    </row>
    <row r="38" spans="1:7" x14ac:dyDescent="0.25">
      <c r="A38" t="s">
        <v>58</v>
      </c>
      <c r="B38" t="s">
        <v>57</v>
      </c>
      <c r="C38">
        <v>1</v>
      </c>
      <c r="D38">
        <v>1</v>
      </c>
      <c r="E38">
        <v>0</v>
      </c>
      <c r="F38" s="3">
        <v>1</v>
      </c>
      <c r="G38">
        <v>1</v>
      </c>
    </row>
    <row r="39" spans="1:7" x14ac:dyDescent="0.25">
      <c r="A39" t="s">
        <v>54</v>
      </c>
      <c r="B39" t="s">
        <v>37</v>
      </c>
      <c r="C39">
        <v>1</v>
      </c>
      <c r="D39">
        <v>1</v>
      </c>
      <c r="E39">
        <v>0</v>
      </c>
      <c r="F39" s="3">
        <v>1</v>
      </c>
      <c r="G39">
        <v>1</v>
      </c>
    </row>
  </sheetData>
  <mergeCells count="1">
    <mergeCell ref="A1:G1"/>
  </mergeCells>
  <conditionalFormatting sqref="F3:F40">
    <cfRule type="cellIs" dxfId="3" priority="1" operator="greaterThanOrEqual">
      <formula>0.85</formula>
    </cfRule>
    <cfRule type="cellIs" dxfId="4" priority="2" operator="between">
      <formula>0.7</formula>
      <formula>0.8499</formula>
    </cfRule>
    <cfRule type="cellIs" dxfId="5" priority="3" operator="lessThan">
      <formula>0.7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4" width="40" customWidth="1"/>
    <col min="5" max="5" width="40" style="3" customWidth="1"/>
    <col min="6" max="8" width="40" customWidth="1"/>
    <col min="9" max="9" width="40" style="3" customWidth="1"/>
    <col min="10" max="14" width="40" customWidth="1"/>
  </cols>
  <sheetData>
    <row r="1" spans="1:14" x14ac:dyDescent="0.25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t="s">
        <v>60</v>
      </c>
      <c r="B2">
        <v>18</v>
      </c>
      <c r="C2">
        <v>15</v>
      </c>
      <c r="D2">
        <v>1</v>
      </c>
      <c r="E2" s="3">
        <v>0.8333333333333334</v>
      </c>
      <c r="F2">
        <v>5</v>
      </c>
      <c r="G2">
        <v>3</v>
      </c>
      <c r="H2">
        <v>2</v>
      </c>
      <c r="I2" s="3">
        <v>0.6</v>
      </c>
      <c r="J2">
        <v>14.5</v>
      </c>
      <c r="K2">
        <v>20</v>
      </c>
      <c r="L2">
        <v>0</v>
      </c>
      <c r="M2">
        <v>19.8</v>
      </c>
      <c r="N2">
        <v>0.76</v>
      </c>
    </row>
    <row r="3" spans="1:14" x14ac:dyDescent="0.25">
      <c r="A3" t="s">
        <v>61</v>
      </c>
      <c r="B3">
        <v>18</v>
      </c>
      <c r="C3">
        <v>14</v>
      </c>
      <c r="D3">
        <v>2</v>
      </c>
      <c r="E3" s="3">
        <v>0.7777777777777778</v>
      </c>
      <c r="F3">
        <v>5</v>
      </c>
      <c r="G3">
        <v>4</v>
      </c>
      <c r="H3">
        <v>1</v>
      </c>
      <c r="I3" s="3">
        <v>0.8</v>
      </c>
      <c r="J3">
        <v>12</v>
      </c>
      <c r="K3">
        <v>12</v>
      </c>
      <c r="L3">
        <v>0</v>
      </c>
      <c r="M3">
        <v>24.9</v>
      </c>
      <c r="N3">
        <v>0.56</v>
      </c>
    </row>
    <row r="4" spans="1:14" x14ac:dyDescent="0.25">
      <c r="A4" t="s">
        <v>62</v>
      </c>
      <c r="B4">
        <v>11</v>
      </c>
      <c r="C4">
        <v>11</v>
      </c>
      <c r="D4">
        <v>0</v>
      </c>
      <c r="E4" s="3">
        <v>1</v>
      </c>
      <c r="F4">
        <v>3</v>
      </c>
      <c r="G4">
        <v>2</v>
      </c>
      <c r="H4">
        <v>1</v>
      </c>
      <c r="I4" s="3">
        <v>0.6666666666666666</v>
      </c>
      <c r="J4">
        <v>5</v>
      </c>
      <c r="K4">
        <v>5</v>
      </c>
      <c r="L4">
        <v>0</v>
      </c>
      <c r="M4">
        <v>15.2</v>
      </c>
      <c r="N4">
        <v>0.72</v>
      </c>
    </row>
    <row r="5" spans="1:14" x14ac:dyDescent="0.25">
      <c r="A5" t="s">
        <v>63</v>
      </c>
      <c r="B5">
        <v>2</v>
      </c>
      <c r="C5">
        <v>2</v>
      </c>
      <c r="D5">
        <v>0</v>
      </c>
      <c r="E5" s="3">
        <v>1</v>
      </c>
      <c r="F5">
        <v>2</v>
      </c>
      <c r="G5">
        <v>1</v>
      </c>
      <c r="H5">
        <v>1</v>
      </c>
      <c r="I5" s="3">
        <v>0.5</v>
      </c>
      <c r="J5">
        <v>14</v>
      </c>
      <c r="K5">
        <v>14</v>
      </c>
      <c r="L5">
        <v>0</v>
      </c>
      <c r="M5">
        <v>11.9</v>
      </c>
      <c r="N5">
        <v>0.17</v>
      </c>
    </row>
  </sheetData>
  <mergeCells count="1">
    <mergeCell ref="A1:N1"/>
  </mergeCells>
  <conditionalFormatting sqref="I3:I6">
    <cfRule type="cellIs" dxfId="6" priority="1" operator="greaterThanOrEqual">
      <formula>0.9</formula>
    </cfRule>
    <cfRule type="cellIs" dxfId="7" priority="2" operator="between">
      <formula>0.8</formula>
      <formula>0.8999</formula>
    </cfRule>
    <cfRule type="cellIs" dxfId="8" priority="3" operator="lessThan">
      <formula>0.8</formula>
    </cfRule>
  </conditionalFormatting>
  <conditionalFormatting sqref="L3:L6">
    <cfRule type="cellIs" dxfId="9" priority="1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5" width="40" customWidth="1"/>
    <col min="6" max="6" width="40" style="3" customWidth="1"/>
    <col min="7" max="10" width="40" customWidth="1"/>
  </cols>
  <sheetData>
    <row r="1" spans="1:10" x14ac:dyDescent="0.25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t="s">
        <v>65</v>
      </c>
      <c r="B2" t="s">
        <v>66</v>
      </c>
      <c r="C2">
        <v>17</v>
      </c>
      <c r="D2">
        <v>10</v>
      </c>
      <c r="E2">
        <v>1</v>
      </c>
      <c r="F2" s="3">
        <v>0.058823529411764705</v>
      </c>
      <c r="G2">
        <v>0</v>
      </c>
      <c r="H2" t="s">
        <v>67</v>
      </c>
      <c r="I2" t="s">
        <v>68</v>
      </c>
      <c r="J2" t="s">
        <v>31</v>
      </c>
    </row>
    <row r="3" spans="1:10" x14ac:dyDescent="0.25">
      <c r="A3" t="s">
        <v>69</v>
      </c>
      <c r="B3" t="s">
        <v>70</v>
      </c>
      <c r="C3">
        <v>13</v>
      </c>
      <c r="D3">
        <v>7</v>
      </c>
      <c r="E3">
        <v>1</v>
      </c>
      <c r="F3" s="3">
        <v>0.07692307692307693</v>
      </c>
      <c r="G3">
        <v>1</v>
      </c>
      <c r="H3" t="s">
        <v>67</v>
      </c>
      <c r="I3" t="s">
        <v>71</v>
      </c>
      <c r="J3" t="s">
        <v>31</v>
      </c>
    </row>
    <row r="4" spans="1:10" x14ac:dyDescent="0.25">
      <c r="A4" t="s">
        <v>72</v>
      </c>
      <c r="B4" t="s">
        <v>73</v>
      </c>
      <c r="C4">
        <v>7</v>
      </c>
      <c r="D4">
        <v>7</v>
      </c>
      <c r="E4">
        <v>0</v>
      </c>
      <c r="F4" s="3">
        <v>0</v>
      </c>
      <c r="G4">
        <v>0</v>
      </c>
      <c r="H4" t="s">
        <v>67</v>
      </c>
      <c r="I4" t="s">
        <v>71</v>
      </c>
      <c r="J4" t="s">
        <v>29</v>
      </c>
    </row>
    <row r="5" spans="1:10" x14ac:dyDescent="0.25">
      <c r="A5" t="s">
        <v>74</v>
      </c>
      <c r="B5" t="s">
        <v>75</v>
      </c>
      <c r="C5">
        <v>6</v>
      </c>
      <c r="D5">
        <v>6</v>
      </c>
      <c r="E5">
        <v>0</v>
      </c>
      <c r="F5" s="3">
        <v>0</v>
      </c>
      <c r="G5">
        <v>0</v>
      </c>
      <c r="H5" t="s">
        <v>67</v>
      </c>
      <c r="I5" t="s">
        <v>76</v>
      </c>
      <c r="J5" t="s">
        <v>29</v>
      </c>
    </row>
    <row r="6" spans="1:10" x14ac:dyDescent="0.25">
      <c r="A6" t="s">
        <v>77</v>
      </c>
      <c r="B6" t="s">
        <v>78</v>
      </c>
      <c r="C6">
        <v>4</v>
      </c>
      <c r="D6">
        <v>4</v>
      </c>
      <c r="E6">
        <v>0</v>
      </c>
      <c r="F6" s="3">
        <v>0</v>
      </c>
      <c r="G6">
        <v>0</v>
      </c>
      <c r="H6" t="s">
        <v>67</v>
      </c>
      <c r="I6" t="s">
        <v>79</v>
      </c>
      <c r="J6" t="s">
        <v>29</v>
      </c>
    </row>
    <row r="7" spans="1:10" x14ac:dyDescent="0.25">
      <c r="A7" t="s">
        <v>80</v>
      </c>
      <c r="B7" t="s">
        <v>81</v>
      </c>
      <c r="C7">
        <v>3</v>
      </c>
      <c r="D7">
        <v>3</v>
      </c>
      <c r="E7">
        <v>0</v>
      </c>
      <c r="F7" s="3">
        <v>0</v>
      </c>
      <c r="G7">
        <v>0</v>
      </c>
      <c r="H7" t="s">
        <v>67</v>
      </c>
      <c r="I7" t="s">
        <v>82</v>
      </c>
      <c r="J7" t="s">
        <v>29</v>
      </c>
    </row>
    <row r="8" spans="1:10" x14ac:dyDescent="0.25">
      <c r="A8" t="s">
        <v>83</v>
      </c>
      <c r="B8" t="s">
        <v>84</v>
      </c>
      <c r="C8">
        <v>2</v>
      </c>
      <c r="D8">
        <v>2</v>
      </c>
      <c r="E8">
        <v>0</v>
      </c>
      <c r="F8" s="3">
        <v>0</v>
      </c>
      <c r="G8">
        <v>0</v>
      </c>
      <c r="H8" t="s">
        <v>67</v>
      </c>
      <c r="I8" t="s">
        <v>85</v>
      </c>
      <c r="J8" t="s">
        <v>27</v>
      </c>
    </row>
    <row r="9" spans="1:10" x14ac:dyDescent="0.25">
      <c r="A9" t="s">
        <v>86</v>
      </c>
      <c r="B9" t="s">
        <v>87</v>
      </c>
      <c r="C9">
        <v>2</v>
      </c>
      <c r="D9">
        <v>1</v>
      </c>
      <c r="E9">
        <v>1</v>
      </c>
      <c r="F9" s="3">
        <v>0.5</v>
      </c>
      <c r="G9">
        <v>0</v>
      </c>
      <c r="H9" t="s">
        <v>67</v>
      </c>
      <c r="I9" t="s">
        <v>88</v>
      </c>
      <c r="J9" t="s">
        <v>25</v>
      </c>
    </row>
    <row r="10" spans="1:10" x14ac:dyDescent="0.25">
      <c r="A10" t="s">
        <v>89</v>
      </c>
      <c r="B10" t="s">
        <v>90</v>
      </c>
      <c r="C10">
        <v>1</v>
      </c>
      <c r="D10">
        <v>1</v>
      </c>
      <c r="E10">
        <v>0</v>
      </c>
      <c r="F10" s="3">
        <v>0</v>
      </c>
      <c r="G10">
        <v>0</v>
      </c>
      <c r="H10" t="s">
        <v>67</v>
      </c>
      <c r="I10" t="s">
        <v>91</v>
      </c>
      <c r="J10" t="s">
        <v>25</v>
      </c>
    </row>
    <row r="11" spans="1:10" x14ac:dyDescent="0.25">
      <c r="A11" t="s">
        <v>92</v>
      </c>
      <c r="B11" t="s">
        <v>93</v>
      </c>
      <c r="C11">
        <v>1</v>
      </c>
      <c r="D11">
        <v>1</v>
      </c>
      <c r="E11">
        <v>0</v>
      </c>
      <c r="F11" s="3">
        <v>0</v>
      </c>
      <c r="G11">
        <v>0</v>
      </c>
      <c r="H11" t="s">
        <v>67</v>
      </c>
      <c r="I11" t="s">
        <v>79</v>
      </c>
      <c r="J11" t="s">
        <v>21</v>
      </c>
    </row>
  </sheetData>
  <mergeCells count="1">
    <mergeCell ref="A1:J1"/>
  </mergeCells>
  <conditionalFormatting sqref="F3:F12">
    <cfRule type="cellIs" dxfId="10" priority="1" operator="greaterThan">
      <formula>0.2</formula>
    </cfRule>
  </conditionalFormatting>
  <conditionalFormatting sqref="G3:G12">
    <cfRule type="cellIs" dxfId="11" priority="1" operator="greaterThanOrEqual">
      <formula>5</formula>
    </cfRule>
    <cfRule type="cellIs" dxfId="12" priority="2" operator="equal">
      <formula>4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40" customWidth="1"/>
  </cols>
  <sheetData>
    <row r="1" spans="1:10" x14ac:dyDescent="0.2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95</v>
      </c>
      <c r="B2" t="s">
        <v>96</v>
      </c>
      <c r="C2" t="s">
        <v>97</v>
      </c>
      <c r="D2">
        <v>0</v>
      </c>
      <c r="E2">
        <v>0</v>
      </c>
      <c r="F2">
        <v>0</v>
      </c>
      <c r="G2" t="s">
        <v>98</v>
      </c>
      <c r="H2">
        <v>0</v>
      </c>
      <c r="I2" t="s">
        <v>98</v>
      </c>
      <c r="J2" t="s">
        <v>98</v>
      </c>
    </row>
    <row r="3" spans="1:10" x14ac:dyDescent="0.25">
      <c r="A3" t="s">
        <v>99</v>
      </c>
      <c r="B3" t="s">
        <v>96</v>
      </c>
      <c r="C3" t="s">
        <v>97</v>
      </c>
      <c r="D3">
        <v>0</v>
      </c>
      <c r="E3">
        <v>0</v>
      </c>
      <c r="F3">
        <v>0</v>
      </c>
      <c r="G3" t="s">
        <v>98</v>
      </c>
      <c r="H3">
        <v>0</v>
      </c>
      <c r="I3" t="s">
        <v>98</v>
      </c>
      <c r="J3" t="s">
        <v>98</v>
      </c>
    </row>
    <row r="4" spans="1:10" x14ac:dyDescent="0.25">
      <c r="A4" t="s">
        <v>100</v>
      </c>
      <c r="B4" t="s">
        <v>96</v>
      </c>
      <c r="C4" t="s">
        <v>97</v>
      </c>
      <c r="D4">
        <v>1500</v>
      </c>
      <c r="E4">
        <v>0</v>
      </c>
      <c r="F4">
        <v>0</v>
      </c>
      <c r="G4" t="s">
        <v>98</v>
      </c>
      <c r="H4">
        <v>1</v>
      </c>
      <c r="I4" s="5">
        <v>46079.20833333333</v>
      </c>
      <c r="J4">
        <v>2</v>
      </c>
    </row>
    <row r="5" spans="1:10" x14ac:dyDescent="0.25">
      <c r="A5" t="s">
        <v>101</v>
      </c>
      <c r="B5" t="s">
        <v>96</v>
      </c>
      <c r="C5" t="s">
        <v>97</v>
      </c>
      <c r="D5">
        <v>0</v>
      </c>
      <c r="E5">
        <v>0</v>
      </c>
      <c r="F5">
        <v>0</v>
      </c>
      <c r="G5" t="s">
        <v>98</v>
      </c>
      <c r="H5">
        <v>0</v>
      </c>
      <c r="I5" t="s">
        <v>98</v>
      </c>
      <c r="J5" t="s">
        <v>98</v>
      </c>
    </row>
    <row r="6" spans="1:10" x14ac:dyDescent="0.25">
      <c r="A6" t="s">
        <v>102</v>
      </c>
      <c r="B6" t="s">
        <v>103</v>
      </c>
      <c r="C6" t="s">
        <v>97</v>
      </c>
      <c r="D6">
        <v>0</v>
      </c>
      <c r="E6">
        <v>0</v>
      </c>
      <c r="F6">
        <v>0</v>
      </c>
      <c r="G6" t="s">
        <v>98</v>
      </c>
      <c r="H6">
        <v>0</v>
      </c>
      <c r="I6" t="s">
        <v>98</v>
      </c>
      <c r="J6" t="s">
        <v>98</v>
      </c>
    </row>
  </sheetData>
  <mergeCells count="1">
    <mergeCell ref="A1:J1"/>
  </mergeCells>
  <conditionalFormatting sqref="J3:J7">
    <cfRule type="cellIs" dxfId="13" priority="1" operator="greaterThanOrEqual">
      <formula>30</formula>
    </cfRule>
    <cfRule type="cellIs" dxfId="14" priority="2" operator="greaterThanOrEqual">
      <formula>20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5" width="40" customWidth="1"/>
    <col min="6" max="6" width="40" style="3" customWidth="1"/>
    <col min="7" max="10" width="40" customWidth="1"/>
  </cols>
  <sheetData>
    <row r="1" spans="1:10" x14ac:dyDescent="0.25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t="s">
        <v>21</v>
      </c>
      <c r="B2" t="s">
        <v>22</v>
      </c>
      <c r="C2">
        <v>14</v>
      </c>
      <c r="D2">
        <v>14</v>
      </c>
      <c r="E2">
        <v>0</v>
      </c>
      <c r="F2" s="3">
        <v>1</v>
      </c>
      <c r="G2">
        <v>3</v>
      </c>
      <c r="H2">
        <v>3</v>
      </c>
      <c r="I2">
        <v>8</v>
      </c>
      <c r="J2">
        <v>0.57</v>
      </c>
    </row>
    <row r="3" spans="1:10" x14ac:dyDescent="0.25">
      <c r="A3" t="s">
        <v>23</v>
      </c>
      <c r="B3" t="s">
        <v>24</v>
      </c>
      <c r="C3">
        <v>15</v>
      </c>
      <c r="D3">
        <v>15.2</v>
      </c>
      <c r="E3">
        <v>0.2</v>
      </c>
      <c r="F3" s="3">
        <v>1.0133333333333332</v>
      </c>
      <c r="G3">
        <v>3</v>
      </c>
      <c r="H3">
        <v>3</v>
      </c>
      <c r="I3">
        <v>7</v>
      </c>
      <c r="J3">
        <v>0.46</v>
      </c>
    </row>
    <row r="4" spans="1:10" x14ac:dyDescent="0.25">
      <c r="A4" t="s">
        <v>25</v>
      </c>
      <c r="B4" t="s">
        <v>26</v>
      </c>
      <c r="C4">
        <v>14</v>
      </c>
      <c r="D4">
        <v>14.4</v>
      </c>
      <c r="E4">
        <v>0.4</v>
      </c>
      <c r="F4" s="3">
        <v>1.0285714285714287</v>
      </c>
      <c r="G4">
        <v>3</v>
      </c>
      <c r="H4">
        <v>3</v>
      </c>
      <c r="I4">
        <v>7</v>
      </c>
      <c r="J4">
        <v>0.49</v>
      </c>
    </row>
    <row r="5" spans="1:10" x14ac:dyDescent="0.25">
      <c r="A5" t="s">
        <v>27</v>
      </c>
      <c r="B5" t="s">
        <v>28</v>
      </c>
      <c r="C5">
        <v>15</v>
      </c>
      <c r="D5">
        <v>14.4</v>
      </c>
      <c r="E5">
        <v>-0.6</v>
      </c>
      <c r="F5" s="3">
        <v>0.9600000000000001</v>
      </c>
      <c r="G5">
        <v>3</v>
      </c>
      <c r="H5">
        <v>3</v>
      </c>
      <c r="I5">
        <v>9</v>
      </c>
      <c r="J5">
        <v>0.63</v>
      </c>
    </row>
    <row r="6" spans="1:10" x14ac:dyDescent="0.25">
      <c r="A6" t="s">
        <v>29</v>
      </c>
      <c r="B6" t="s">
        <v>30</v>
      </c>
      <c r="C6">
        <v>14</v>
      </c>
      <c r="D6">
        <v>13.9</v>
      </c>
      <c r="E6">
        <v>-0.1</v>
      </c>
      <c r="F6" s="3">
        <v>0.9928571428571429</v>
      </c>
      <c r="G6">
        <v>3</v>
      </c>
      <c r="H6">
        <v>3</v>
      </c>
      <c r="I6">
        <v>8</v>
      </c>
      <c r="J6">
        <v>0.58</v>
      </c>
    </row>
  </sheetData>
  <mergeCells count="1">
    <mergeCell ref="A1:J1"/>
  </mergeCells>
  <conditionalFormatting sqref="F3:F7">
    <cfRule type="cellIs" dxfId="15" priority="1" operator="greaterThanOrEqual">
      <formula>0.95</formula>
    </cfRule>
    <cfRule type="cellIs" dxfId="16" priority="2" operator="between">
      <formula>0.8</formula>
      <formula>0.9499</formula>
    </cfRule>
    <cfRule type="cellIs" dxfId="17" priority="3" operator="lessThan">
      <formula>0.8</formula>
    </cfRule>
  </conditionalFormatting>
  <conditionalFormatting sqref="E3:E7">
    <cfRule type="cellIs" dxfId="18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40" customWidth="1"/>
  </cols>
  <sheetData>
    <row r="1" spans="1:6" x14ac:dyDescent="0.25">
      <c r="A1" s="1" t="s">
        <v>105</v>
      </c>
      <c r="B1" s="1"/>
      <c r="C1" s="1"/>
      <c r="D1" s="1"/>
      <c r="E1" s="1"/>
      <c r="F1" s="1"/>
    </row>
    <row r="2" spans="1:6" x14ac:dyDescent="0.25">
      <c r="A2" t="s">
        <v>106</v>
      </c>
      <c r="B2">
        <v>1</v>
      </c>
      <c r="C2">
        <v>0</v>
      </c>
      <c r="D2">
        <v>0</v>
      </c>
      <c r="E2">
        <v>2</v>
      </c>
      <c r="F2">
        <v>1</v>
      </c>
    </row>
    <row r="3" spans="1:6" x14ac:dyDescent="0.25">
      <c r="A3" t="s">
        <v>107</v>
      </c>
      <c r="B3">
        <v>2</v>
      </c>
      <c r="C3">
        <v>1</v>
      </c>
      <c r="D3">
        <v>1</v>
      </c>
      <c r="E3">
        <v>1</v>
      </c>
      <c r="F3">
        <v>0</v>
      </c>
    </row>
    <row r="4" spans="1:6" x14ac:dyDescent="0.25">
      <c r="A4" t="s">
        <v>108</v>
      </c>
      <c r="B4">
        <v>1</v>
      </c>
      <c r="C4">
        <v>1</v>
      </c>
      <c r="D4">
        <v>3</v>
      </c>
      <c r="E4">
        <v>0</v>
      </c>
      <c r="F4">
        <v>1</v>
      </c>
    </row>
    <row r="5" spans="1:6" x14ac:dyDescent="0.25">
      <c r="A5" t="s">
        <v>109</v>
      </c>
      <c r="B5">
        <v>0</v>
      </c>
      <c r="C5">
        <v>0</v>
      </c>
      <c r="D5">
        <v>1</v>
      </c>
      <c r="E5">
        <v>1</v>
      </c>
      <c r="F5">
        <v>2</v>
      </c>
    </row>
    <row r="6" spans="1:6" x14ac:dyDescent="0.25">
      <c r="A6" t="s">
        <v>110</v>
      </c>
      <c r="B6">
        <v>2</v>
      </c>
      <c r="C6">
        <v>2</v>
      </c>
      <c r="D6">
        <v>0</v>
      </c>
      <c r="E6">
        <v>0</v>
      </c>
      <c r="F6">
        <v>1</v>
      </c>
    </row>
    <row r="7" spans="1:6" x14ac:dyDescent="0.25">
      <c r="A7" t="s">
        <v>111</v>
      </c>
      <c r="B7">
        <v>0</v>
      </c>
      <c r="C7">
        <v>3</v>
      </c>
      <c r="D7">
        <v>1</v>
      </c>
      <c r="E7">
        <v>2</v>
      </c>
      <c r="F7">
        <v>0</v>
      </c>
    </row>
    <row r="8" spans="1:6" x14ac:dyDescent="0.25">
      <c r="A8" t="s">
        <v>112</v>
      </c>
      <c r="B8">
        <v>1</v>
      </c>
      <c r="C8">
        <v>0</v>
      </c>
      <c r="D8">
        <v>0</v>
      </c>
      <c r="E8">
        <v>2</v>
      </c>
      <c r="F8">
        <v>3</v>
      </c>
    </row>
    <row r="9" spans="1:6" x14ac:dyDescent="0.25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114</v>
      </c>
      <c r="B10">
        <v>0</v>
      </c>
      <c r="C10">
        <v>0</v>
      </c>
      <c r="D10">
        <v>1</v>
      </c>
      <c r="E10">
        <v>0</v>
      </c>
      <c r="F10">
        <v>1</v>
      </c>
    </row>
  </sheetData>
  <mergeCells count="1">
    <mergeCell ref="A1:F1"/>
  </mergeCells>
  <conditionalFormatting sqref="B3:F11">
    <cfRule type="colorScale" priority="1">
      <colorScale>
        <cfvo type="min"/>
        <cfvo type="max"/>
        <color rgb="FFFFFFFF"/>
        <color rgb="FF4682B4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Daily Volume</vt:lpstr>
      <vt:lpstr>Routes</vt:lpstr>
      <vt:lpstr>Driver Performance</vt:lpstr>
      <vt:lpstr>Rider Analysis</vt:lpstr>
      <vt:lpstr>Fleet</vt:lpstr>
      <vt:lpstr>Shift Coverage</vt:lpstr>
      <vt:lpstr>Peak Hours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RideOps</dc:creator>
  <dc:title/>
  <dc:subject/>
  <dc:description/>
  <cp:keywords/>
  <cp:category/>
  <cp:lastModifiedBy>Unknown</cp:lastModifiedBy>
  <dcterms:created xsi:type="dcterms:W3CDTF">2026-02-28T09:49:21Z</dcterms:created>
  <dcterms:modified xsi:type="dcterms:W3CDTF">2026-02-28T09:49:21Z</dcterms:modified>
</cp:coreProperties>
</file>